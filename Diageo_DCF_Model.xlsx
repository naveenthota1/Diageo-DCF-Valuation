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vee\Downloads\"/>
    </mc:Choice>
  </mc:AlternateContent>
  <xr:revisionPtr revIDLastSave="0" documentId="8_{86A02278-F3F4-4E37-A0DF-4735680FC12C}" xr6:coauthVersionLast="47" xr6:coauthVersionMax="47" xr10:uidLastSave="{00000000-0000-0000-0000-000000000000}"/>
  <bookViews>
    <workbookView xWindow="-8" yWindow="90" windowWidth="12713" windowHeight="14055" firstSheet="1" activeTab="2" xr2:uid="{00000000-000D-0000-FFFF-FFFF00000000}"/>
  </bookViews>
  <sheets>
    <sheet name="Cover" sheetId="8" r:id="rId1"/>
    <sheet name="Assumptions" sheetId="2" r:id="rId2"/>
    <sheet name="Historical" sheetId="3" r:id="rId3"/>
    <sheet name="Projections" sheetId="4" r:id="rId4"/>
    <sheet name="Sensitivity" sheetId="1" r:id="rId5"/>
    <sheet name="DCF" sheetId="7" r:id="rId6"/>
    <sheet name="Comp" sheetId="9" r:id="rId7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8" i="3" l="1"/>
  <c r="D18" i="3"/>
  <c r="E18" i="3"/>
  <c r="F18" i="3"/>
  <c r="B18" i="3"/>
  <c r="C5" i="7"/>
  <c r="D5" i="7"/>
  <c r="E5" i="7"/>
  <c r="F5" i="7"/>
  <c r="B5" i="7"/>
  <c r="G4" i="4"/>
  <c r="F4" i="4"/>
  <c r="B42" i="2"/>
  <c r="B41" i="2"/>
  <c r="E4" i="4"/>
  <c r="E3" i="4" s="1"/>
  <c r="B37" i="2"/>
  <c r="B21" i="9"/>
  <c r="B14" i="9"/>
  <c r="B15" i="9"/>
  <c r="B13" i="9"/>
  <c r="G10" i="9"/>
  <c r="F10" i="9"/>
  <c r="B19" i="7"/>
  <c r="B23" i="7"/>
  <c r="B12" i="7"/>
  <c r="B40" i="2"/>
  <c r="B34" i="2"/>
  <c r="C3" i="7"/>
  <c r="B3" i="7"/>
  <c r="D3" i="4"/>
  <c r="C3" i="4"/>
  <c r="C4" i="4"/>
  <c r="D13" i="4"/>
  <c r="C13" i="4"/>
  <c r="D12" i="4"/>
  <c r="C12" i="4"/>
  <c r="D11" i="4"/>
  <c r="C11" i="4"/>
  <c r="D6" i="4"/>
  <c r="C6" i="4"/>
  <c r="B3" i="4"/>
  <c r="G7" i="4"/>
  <c r="F7" i="4"/>
  <c r="E7" i="4"/>
  <c r="D7" i="4"/>
  <c r="C7" i="4"/>
  <c r="D4" i="4"/>
  <c r="B48" i="2"/>
  <c r="B50" i="2"/>
  <c r="D16" i="3"/>
  <c r="B16" i="3"/>
  <c r="C16" i="3"/>
  <c r="E16" i="3"/>
  <c r="F16" i="3"/>
  <c r="B21" i="3"/>
  <c r="C21" i="3"/>
  <c r="D21" i="3"/>
  <c r="B6" i="3"/>
  <c r="C6" i="3"/>
  <c r="F21" i="3"/>
  <c r="E11" i="3"/>
  <c r="F11" i="3"/>
  <c r="B10" i="3"/>
  <c r="C10" i="3"/>
  <c r="D10" i="3"/>
  <c r="E10" i="3"/>
  <c r="F10" i="3"/>
  <c r="D6" i="3"/>
  <c r="F6" i="3"/>
  <c r="E6" i="3"/>
  <c r="F3" i="4" l="1"/>
  <c r="G3" i="4" s="1"/>
  <c r="B43" i="2"/>
  <c r="B17" i="9"/>
  <c r="B19" i="9" s="1"/>
  <c r="B18" i="9"/>
  <c r="B20" i="9" s="1"/>
  <c r="B26" i="9" s="1"/>
  <c r="B16" i="9"/>
  <c r="C9" i="4"/>
  <c r="C14" i="4" s="1"/>
  <c r="C8" i="4"/>
  <c r="E13" i="4"/>
  <c r="E12" i="4"/>
  <c r="E11" i="4"/>
  <c r="E6" i="4"/>
  <c r="D9" i="4"/>
  <c r="D14" i="4" s="1"/>
  <c r="D8" i="4"/>
  <c r="C11" i="3"/>
  <c r="B11" i="3"/>
  <c r="D11" i="3"/>
  <c r="B13" i="7" l="1"/>
  <c r="B6" i="7"/>
  <c r="C6" i="7"/>
  <c r="B22" i="9"/>
  <c r="E9" i="4"/>
  <c r="E14" i="4" s="1"/>
  <c r="D3" i="7" s="1"/>
  <c r="D6" i="7" s="1"/>
  <c r="E8" i="4"/>
  <c r="F13" i="4"/>
  <c r="F12" i="4"/>
  <c r="F11" i="4"/>
  <c r="F6" i="4"/>
  <c r="G13" i="4" l="1"/>
  <c r="G12" i="4"/>
  <c r="G11" i="4"/>
  <c r="G6" i="4"/>
  <c r="F9" i="4"/>
  <c r="F14" i="4" s="1"/>
  <c r="E3" i="7" s="1"/>
  <c r="E6" i="7" s="1"/>
  <c r="F8" i="4"/>
  <c r="G9" i="4" l="1"/>
  <c r="G14" i="4" s="1"/>
  <c r="F3" i="7" s="1"/>
  <c r="G8" i="4"/>
  <c r="B11" i="7" l="1"/>
  <c r="B14" i="7"/>
  <c r="B15" i="7" s="1"/>
  <c r="F6" i="7"/>
  <c r="B8" i="7" s="1"/>
  <c r="B18" i="7" s="1"/>
  <c r="B20" i="7" s="1"/>
  <c r="B24" i="7" s="1"/>
  <c r="B26" i="7" s="1"/>
  <c r="B25" i="9" l="1"/>
  <c r="B28" i="9" s="1"/>
  <c r="B29" i="9" s="1"/>
  <c r="A5" i="1"/>
  <c r="B28" i="7"/>
</calcChain>
</file>

<file path=xl/sharedStrings.xml><?xml version="1.0" encoding="utf-8"?>
<sst xmlns="http://schemas.openxmlformats.org/spreadsheetml/2006/main" count="237" uniqueCount="216">
  <si>
    <t>DIAGEO PLC - VALUATION ASSUMPTIONS</t>
  </si>
  <si>
    <t>FORECAST PERIOD</t>
  </si>
  <si>
    <t>Forecast years</t>
  </si>
  <si>
    <t>Base year</t>
  </si>
  <si>
    <t xml:space="preserve"> FY25</t>
  </si>
  <si>
    <t>First forecast year</t>
  </si>
  <si>
    <t>FY26</t>
  </si>
  <si>
    <t>Terminal year</t>
  </si>
  <si>
    <t>FY30</t>
  </si>
  <si>
    <t xml:space="preserve">REVENUE GROWTH ASSUMPTIONS </t>
  </si>
  <si>
    <t>Revenue growth FY26</t>
  </si>
  <si>
    <t>Revenue growth FY27</t>
  </si>
  <si>
    <t>Revenue growth FY28</t>
  </si>
  <si>
    <t>Revenue growth FY29</t>
  </si>
  <si>
    <t>Revenue growth FY30</t>
  </si>
  <si>
    <t>Terminal growth rate</t>
  </si>
  <si>
    <t>OPERATING ASSUMPTIONS</t>
  </si>
  <si>
    <t>EBIT margin FY26</t>
  </si>
  <si>
    <t>EBIT margin FY27</t>
  </si>
  <si>
    <t>EBIT margin FY28</t>
  </si>
  <si>
    <t>EBIT margin FY29</t>
  </si>
  <si>
    <t>EBIT margin FY30</t>
  </si>
  <si>
    <t>CASH FLOW ASSUMPTION</t>
  </si>
  <si>
    <t>Effective Tax Rate</t>
  </si>
  <si>
    <t>D&amp;A % of revenue</t>
  </si>
  <si>
    <t>Capex % of revenue</t>
  </si>
  <si>
    <t>Change in WC % of revenue</t>
  </si>
  <si>
    <t>WACC INPUTS</t>
  </si>
  <si>
    <t>Risk-free rate (10Y UK Gilt)</t>
  </si>
  <si>
    <t>Equity Risk premium</t>
  </si>
  <si>
    <t>Beta</t>
  </si>
  <si>
    <t>Cost of equity</t>
  </si>
  <si>
    <t>Pre-tax cost of debt</t>
  </si>
  <si>
    <t>Tax rate for debt shield</t>
  </si>
  <si>
    <t>After-tax cost of debt</t>
  </si>
  <si>
    <t>Market value of equity ($m)</t>
  </si>
  <si>
    <t>Net debt  ($m)</t>
  </si>
  <si>
    <t>Total capital ($m)</t>
  </si>
  <si>
    <t>Weight of equity</t>
  </si>
  <si>
    <t>Weight of debt</t>
  </si>
  <si>
    <t>WACC</t>
  </si>
  <si>
    <t>SHARE DATA</t>
  </si>
  <si>
    <t>Current share price (£)</t>
  </si>
  <si>
    <t>Shares oustanding (m)</t>
  </si>
  <si>
    <t>Market Cap ($m)</t>
  </si>
  <si>
    <t>GBP/USD FX rate</t>
  </si>
  <si>
    <t>Market cap ($m)</t>
  </si>
  <si>
    <t>Net debt ($m)</t>
  </si>
  <si>
    <t>DIAGEO PLC - HISTORICAL P&amp;L ($ millions)</t>
  </si>
  <si>
    <t>FY21</t>
  </si>
  <si>
    <t>FY22</t>
  </si>
  <si>
    <t>FY23</t>
  </si>
  <si>
    <t>FY24</t>
  </si>
  <si>
    <t>FY25</t>
  </si>
  <si>
    <t>NET SALES</t>
  </si>
  <si>
    <t>Cost of sales</t>
  </si>
  <si>
    <t>Gross profit</t>
  </si>
  <si>
    <t>Gross margin %</t>
  </si>
  <si>
    <t>Marketing</t>
  </si>
  <si>
    <t>Other operating expenses</t>
  </si>
  <si>
    <t>Operating profit (EBIT)</t>
  </si>
  <si>
    <t>EBIT margin %</t>
  </si>
  <si>
    <t>Non-operating items</t>
  </si>
  <si>
    <t>Net finance charges</t>
  </si>
  <si>
    <t>Share of associate profits</t>
  </si>
  <si>
    <t>Profit before tax</t>
  </si>
  <si>
    <t>Taxation</t>
  </si>
  <si>
    <t>Profit for the year</t>
  </si>
  <si>
    <t>Depreciation &amp; amortisation</t>
  </si>
  <si>
    <t>Capex</t>
  </si>
  <si>
    <t>Change in working capital</t>
  </si>
  <si>
    <t>DIAGEO PLC - PROJECTIONS ($ millions)</t>
  </si>
  <si>
    <t>FY27</t>
  </si>
  <si>
    <t>FY28</t>
  </si>
  <si>
    <t>FY29</t>
  </si>
  <si>
    <t>Net sales</t>
  </si>
  <si>
    <t>Revenue growth %</t>
  </si>
  <si>
    <t>EBIT</t>
  </si>
  <si>
    <t>Tax on EBIT</t>
  </si>
  <si>
    <t>NOPAT (EBIT × (1-Tax))</t>
  </si>
  <si>
    <t>D&amp;A</t>
  </si>
  <si>
    <t>Free Cash Flow (FCF)</t>
  </si>
  <si>
    <t>DIAGEO PLC - SENSITIVITY ANALYSIS</t>
  </si>
  <si>
    <t>Target Price (£) — WACC vs Terminal Growth Rate</t>
  </si>
  <si>
    <t>DIAGEO PLC - DCF VALUATION</t>
  </si>
  <si>
    <t>Column1</t>
  </si>
  <si>
    <t>Column2</t>
  </si>
  <si>
    <t>Column3</t>
  </si>
  <si>
    <t>Column4</t>
  </si>
  <si>
    <t>Column5</t>
  </si>
  <si>
    <t>FCF ($m)</t>
  </si>
  <si>
    <t>Year (1, 2, 3, 4, 5)</t>
  </si>
  <si>
    <t>Discount factor</t>
  </si>
  <si>
    <t>PV of FCF</t>
  </si>
  <si>
    <t>Sum of PV of FCFs</t>
  </si>
  <si>
    <t>TERMINAL VALUE</t>
  </si>
  <si>
    <t>FCF FY30 (terminal year)</t>
  </si>
  <si>
    <t>Terminal value ($m)</t>
  </si>
  <si>
    <t>PV of Terminal Value</t>
  </si>
  <si>
    <t>ENTERPRISE VALUE</t>
  </si>
  <si>
    <t>Enterprise value ($m)</t>
  </si>
  <si>
    <t>Less: Net debt ($m)</t>
  </si>
  <si>
    <t>Equity value ($m)</t>
  </si>
  <si>
    <t>PER SHARE</t>
  </si>
  <si>
    <t>Shares outstanding (m)</t>
  </si>
  <si>
    <t>Equity value per share ($)</t>
  </si>
  <si>
    <t>FX rate (GBP/USD)</t>
  </si>
  <si>
    <t>Equity value per share (£)</t>
  </si>
  <si>
    <t>Upside / (Downside) %</t>
  </si>
  <si>
    <t>Recommendation</t>
  </si>
  <si>
    <t>Buy (upside&gt;15%)</t>
  </si>
  <si>
    <t>DIAGEO - COMPARABLE COMPANIES ANALYSIS</t>
  </si>
  <si>
    <t>Company</t>
  </si>
  <si>
    <t>Pernod Ricard</t>
  </si>
  <si>
    <t>Brown-Forman</t>
  </si>
  <si>
    <t>Constellation Brands</t>
  </si>
  <si>
    <t>Median (peers)</t>
  </si>
  <si>
    <t>Diageo implied value using peer multiples:</t>
  </si>
  <si>
    <t>Implied EV using peer EV/EBITDA</t>
  </si>
  <si>
    <t>Implied EV using peer EV/Revenue</t>
  </si>
  <si>
    <t>Implied share price ($)</t>
  </si>
  <si>
    <t>Implied share price (£)</t>
  </si>
  <si>
    <t>Comparison summary:</t>
  </si>
  <si>
    <t>DCF target (£)</t>
  </si>
  <si>
    <t>Comps target (£)</t>
  </si>
  <si>
    <t>Current price (£)</t>
  </si>
  <si>
    <t xml:space="preserve">Market Cap ($bn) </t>
  </si>
  <si>
    <t>EV ($bn)</t>
  </si>
  <si>
    <t>Revenue ($bn)</t>
  </si>
  <si>
    <t>EBITDA ($bn)</t>
  </si>
  <si>
    <t xml:space="preserve">EV/Revenue </t>
  </si>
  <si>
    <t>EV/EBITDA</t>
  </si>
  <si>
    <t>P/E (TTM)</t>
  </si>
  <si>
    <t xml:space="preserve">Diageo </t>
  </si>
  <si>
    <t>Implied share price (£) — EV/Revenue</t>
  </si>
  <si>
    <t>HOLD / BUY on recovery</t>
  </si>
  <si>
    <t>Implied equity value — EV/Revenue method ($bn)</t>
  </si>
  <si>
    <t>Implied share price — EV/Revenue method($)</t>
  </si>
  <si>
    <t>Average Comps target (£)</t>
  </si>
  <si>
    <t>Final target (£) — average of DCF and Comps</t>
  </si>
  <si>
    <t>Upside to final target %</t>
  </si>
  <si>
    <t>Discounted Cash Flow Valuation</t>
  </si>
  <si>
    <t>RECOMMENDATION</t>
  </si>
  <si>
    <t>COMPANY OVERVIEW</t>
  </si>
  <si>
    <t>DIAGEO PLC (DGE.L)</t>
  </si>
  <si>
    <t>VALUATION SUMMARY</t>
  </si>
  <si>
    <t>KEY ASSUMPTIONS</t>
  </si>
  <si>
    <t>NAVIGATION</t>
  </si>
  <si>
    <t>SOURCES</t>
  </si>
  <si>
    <t>DISCLAIMER</t>
  </si>
  <si>
    <t>Prepared by</t>
  </si>
  <si>
    <t>Date</t>
  </si>
  <si>
    <t>Email</t>
  </si>
  <si>
    <t>LinkedIn</t>
  </si>
  <si>
    <t>Rating</t>
  </si>
  <si>
    <t>BUY on recovery</t>
  </si>
  <si>
    <t>Target Price (£)</t>
  </si>
  <si>
    <t>£17.43</t>
  </si>
  <si>
    <t>Current Price (£)</t>
  </si>
  <si>
    <t>£16.65</t>
  </si>
  <si>
    <t>Upside</t>
  </si>
  <si>
    <t>Investment Horizon</t>
  </si>
  <si>
    <t>12-18 months</t>
  </si>
  <si>
    <t>Sector</t>
  </si>
  <si>
    <t>Consumer Staples - Spirits</t>
  </si>
  <si>
    <t>Market Cap</t>
  </si>
  <si>
    <t>£35.9bn ($45.5bn)</t>
  </si>
  <si>
    <t>Enterprise Value</t>
  </si>
  <si>
    <t>$67.4bn</t>
  </si>
  <si>
    <t>Fiscal Year End</t>
  </si>
  <si>
    <t>Headquarters</t>
  </si>
  <si>
    <t>London, United Kingdom</t>
  </si>
  <si>
    <t>Shares Outstanding</t>
  </si>
  <si>
    <t>2,215m</t>
  </si>
  <si>
    <t>DCF Target</t>
  </si>
  <si>
    <t>£19.89</t>
  </si>
  <si>
    <t>Comps EV/EBITDA Target</t>
  </si>
  <si>
    <t>£13.46</t>
  </si>
  <si>
    <t>Comps EV/Revenue Target</t>
  </si>
  <si>
    <t>£16.47</t>
  </si>
  <si>
    <t>Blended Target</t>
  </si>
  <si>
    <t>Terminal Growth</t>
  </si>
  <si>
    <t>Base Year</t>
  </si>
  <si>
    <t>Forecast Period</t>
  </si>
  <si>
    <t>FY26 - FY30</t>
  </si>
  <si>
    <t>FY30 EBIT Margin</t>
  </si>
  <si>
    <t>Historical</t>
  </si>
  <si>
    <t>5-year historical P&amp;L (FY21-FY25)</t>
  </si>
  <si>
    <t>Assumptions</t>
  </si>
  <si>
    <t>Forecast inputs and WACC calculation</t>
  </si>
  <si>
    <t>Projections</t>
  </si>
  <si>
    <t>5-year forward P&amp;L and FCF forecast</t>
  </si>
  <si>
    <t>DCF</t>
  </si>
  <si>
    <t>Enterprise value and target price</t>
  </si>
  <si>
    <t>Sensitivity</t>
  </si>
  <si>
    <t>25 WACC / growth scenarios</t>
  </si>
  <si>
    <t>Comps</t>
  </si>
  <si>
    <t>Peer multiple analysis</t>
  </si>
  <si>
    <t>Annual Reports</t>
  </si>
  <si>
    <t>Diageo FY21-FY25 (diageo.com/investors)</t>
  </si>
  <si>
    <t>Share Price</t>
  </si>
  <si>
    <t>London Stock Exchange, 20 October 2026</t>
  </si>
  <si>
    <t>UK Gilt Yield</t>
  </si>
  <si>
    <t>Bank of England</t>
  </si>
  <si>
    <t>Equity Risk Premium</t>
  </si>
  <si>
    <t>Damodaran (NYU Stern), UK</t>
  </si>
  <si>
    <t>Peer Data</t>
  </si>
  <si>
    <t>stockanalysis.com</t>
  </si>
  <si>
    <t>For educational and portfolio purposes only. Not investment advice.</t>
  </si>
  <si>
    <t>NAVEEN THOTA</t>
  </si>
  <si>
    <t>nthota0000@gmail.com</t>
  </si>
  <si>
    <t xml:space="preserve"> Asymmetric risk/reward supports Buy rating.</t>
  </si>
  <si>
    <t xml:space="preserve">Base case: BUY at £19.89 (19% upside).  </t>
  </si>
  <si>
    <t>Bear case: (WACC 8.25%, g 1.75%) implies £14 — 16% downside limited.</t>
  </si>
  <si>
    <t>Implied equity value ($bn)</t>
  </si>
  <si>
    <t>Less: Net debt ($bn)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</si>
</sst>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164" formatCode="0.0%"/>
    <numFmt numFmtId="165" formatCode="0.0"/>
    <numFmt numFmtId="166" formatCode="0.0000"/>
    <numFmt numFmtId="167" formatCode="&quot;$&quot;#,##0"/>
    <numFmt numFmtId="168" formatCode="&quot;$&quot;#,##0.0"/>
    <numFmt numFmtId="169" formatCode="_-[$£-809]* #,##0.00_-;\-[$£-809]* #,##0.00_-;_-[$£-809]* &quot;-&quot;??_-;_-@_-"/>
  </numFmts>
  <fonts count="8"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horizontal="center"/>
    </xf>
    <xf numFmtId="3" fontId="1" fillId="0" borderId="0" xfId="0" applyNumberFormat="1" applyFont="1"/>
    <xf numFmtId="0" fontId="1" fillId="0" borderId="0" xfId="0" applyFont="1"/>
    <xf numFmtId="0" fontId="2" fillId="0" borderId="0" xfId="0" applyFont="1" applyAlignment="1">
      <alignment horizontal="center"/>
    </xf>
    <xf numFmtId="10" fontId="1" fillId="0" borderId="0" xfId="0" applyNumberFormat="1" applyFont="1"/>
    <xf numFmtId="9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/>
    </xf>
    <xf numFmtId="164" fontId="1" fillId="0" borderId="0" xfId="0" applyNumberFormat="1" applyFont="1"/>
    <xf numFmtId="10" fontId="0" fillId="0" borderId="0" xfId="0" applyNumberFormat="1"/>
    <xf numFmtId="165" fontId="0" fillId="0" borderId="0" xfId="0" applyNumberFormat="1"/>
    <xf numFmtId="1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2" fontId="1" fillId="0" borderId="0" xfId="0" applyNumberFormat="1" applyFont="1"/>
    <xf numFmtId="165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0" fontId="0" fillId="0" borderId="0" xfId="0" applyAlignment="1">
      <alignment readingOrder="1"/>
    </xf>
    <xf numFmtId="0" fontId="3" fillId="0" borderId="0" xfId="0" applyFont="1"/>
    <xf numFmtId="10" fontId="0" fillId="0" borderId="0" xfId="0" applyNumberFormat="1" applyAlignment="1">
      <alignment readingOrder="1"/>
    </xf>
    <xf numFmtId="10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9" fontId="1" fillId="0" borderId="0" xfId="0" applyNumberFormat="1" applyFont="1"/>
    <xf numFmtId="0" fontId="0" fillId="0" borderId="0" xfId="0" applyAlignment="1">
      <alignment vertical="center" wrapText="1"/>
    </xf>
    <xf numFmtId="169" fontId="3" fillId="0" borderId="0" xfId="0" applyNumberFormat="1" applyFont="1"/>
    <xf numFmtId="10" fontId="5" fillId="0" borderId="0" xfId="0" applyNumberFormat="1" applyFont="1"/>
    <xf numFmtId="0" fontId="3" fillId="0" borderId="0" xfId="0" applyFont="1" applyAlignment="1">
      <alignment vertical="center" wrapText="1"/>
    </xf>
    <xf numFmtId="10" fontId="3" fillId="0" borderId="0" xfId="0" applyNumberFormat="1" applyFont="1" applyAlignment="1">
      <alignment vertical="center" wrapText="1"/>
    </xf>
    <xf numFmtId="169" fontId="0" fillId="0" borderId="0" xfId="1" applyNumberFormat="1" applyFont="1" applyAlignment="1">
      <alignment vertical="center" wrapText="1"/>
    </xf>
    <xf numFmtId="169" fontId="3" fillId="0" borderId="0" xfId="1" applyNumberFormat="1" applyFont="1" applyAlignment="1">
      <alignment vertical="center" wrapText="1"/>
    </xf>
    <xf numFmtId="3" fontId="0" fillId="0" borderId="0" xfId="0" applyNumberFormat="1"/>
    <xf numFmtId="3" fontId="0" fillId="0" borderId="0" xfId="0" applyNumberFormat="1" applyAlignment="1">
      <alignment vertical="center" wrapText="1"/>
    </xf>
    <xf numFmtId="2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/>
    <xf numFmtId="17" fontId="0" fillId="0" borderId="0" xfId="0" applyNumberFormat="1" applyAlignment="1">
      <alignment horizontal="left" vertical="top" wrapText="1"/>
    </xf>
    <xf numFmtId="0" fontId="6" fillId="0" borderId="0" xfId="3" applyAlignment="1">
      <alignment vertical="center" wrapText="1"/>
    </xf>
    <xf numFmtId="16" fontId="0" fillId="0" borderId="0" xfId="0" applyNumberFormat="1" applyAlignment="1">
      <alignment horizontal="left" wrapText="1"/>
    </xf>
    <xf numFmtId="10" fontId="0" fillId="0" borderId="0" xfId="0" applyNumberFormat="1" applyAlignment="1">
      <alignment horizontal="left" wrapText="1"/>
    </xf>
    <xf numFmtId="0" fontId="0" fillId="0" borderId="0" xfId="0" applyAlignment="1">
      <alignment wrapText="1"/>
    </xf>
    <xf numFmtId="9" fontId="0" fillId="0" borderId="0" xfId="0" applyNumberFormat="1" applyAlignment="1">
      <alignment horizontal="left" wrapText="1"/>
    </xf>
    <xf numFmtId="0" fontId="3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3" borderId="0" xfId="0" applyFont="1" applyFill="1"/>
    <xf numFmtId="0" fontId="0" fillId="4" borderId="0" xfId="0" applyFill="1" applyAlignment="1">
      <alignment vertical="center" wrapText="1"/>
    </xf>
    <xf numFmtId="0" fontId="7" fillId="0" borderId="0" xfId="0" applyFont="1"/>
    <xf numFmtId="0" fontId="3" fillId="4" borderId="0" xfId="0" applyFont="1" applyFill="1"/>
    <xf numFmtId="9" fontId="1" fillId="0" borderId="0" xfId="2" applyFont="1"/>
    <xf numFmtId="1" fontId="0" fillId="0" borderId="0" xfId="1" applyNumberFormat="1" applyFont="1"/>
    <xf numFmtId="164" fontId="0" fillId="0" borderId="0" xfId="2" applyNumberFormat="1" applyFont="1"/>
    <xf numFmtId="164" fontId="0" fillId="0" borderId="0" xfId="2" applyNumberFormat="1" applyFont="1" applyAlignment="1">
      <alignment horizontal="left" vertical="center" wrapText="1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numFmt numFmtId="168" formatCode="&quot;$&quot;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numFmt numFmtId="169" formatCode="_-[$£-809]* #,##0.00_-;\-[$£-809]* #,##0.00_-;_-[$£-809]* &quot;-&quot;??_-;_-@_-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FF1127-3357-4FB8-956F-216C4E2FB982}" name="Table1" displayName="Table1" ref="A22:B29" totalsRowShown="0">
  <autoFilter ref="A22:B29" xr:uid="{F4FF1127-3357-4FB8-956F-216C4E2FB982}"/>
  <tableColumns count="2">
    <tableColumn id="1" xr3:uid="{4C88D657-63E9-4910-9DDB-3B243E9D90E9}" name="PER SHARE"/>
    <tableColumn id="2" xr3:uid="{1ADA3E57-46BE-45A3-957E-4259643D726D}" name="Column1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FF9765-53F8-4AA4-ADBA-755829ADE11B}" name="Table2" displayName="Table2" ref="A1:F6" totalsRowShown="0">
  <autoFilter ref="A1:F6" xr:uid="{01FF9765-53F8-4AA4-ADBA-755829ADE11B}"/>
  <tableColumns count="6">
    <tableColumn id="1" xr3:uid="{618E4C7A-8DAC-4F64-AAF8-D062283B7E72}" name="DIAGEO PLC - DCF VALUATION"/>
    <tableColumn id="2" xr3:uid="{9841363B-0117-4F25-B69D-6A57CF0B2C01}" name="Column1"/>
    <tableColumn id="3" xr3:uid="{9F6C8EED-E9F7-436F-93C7-575F8B3C7436}" name="Column2"/>
    <tableColumn id="4" xr3:uid="{F59DE768-0831-43BD-98E0-54CF14B40E5C}" name="Column3"/>
    <tableColumn id="5" xr3:uid="{DE1C0389-A3E6-4D3F-87D9-397F16F55EC4}" name="Column4"/>
    <tableColumn id="6" xr3:uid="{D2B63437-C39F-48CD-B752-B9AC20E0123A}" name="Column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7D6EB6-D7EB-48BA-8112-8417A8D26102}" name="Table3" displayName="Table3" ref="A10:B15" totalsRowShown="0">
  <autoFilter ref="A10:B15" xr:uid="{357D6EB6-D7EB-48BA-8112-8417A8D26102}"/>
  <tableColumns count="2">
    <tableColumn id="1" xr3:uid="{7DC4F82B-881A-42BB-B94F-7E7E412606F6}" name="TERMINAL VALUE"/>
    <tableColumn id="2" xr3:uid="{77F6B213-09BE-44C5-9638-E7E6F37E37AD}" name="Column1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897FD01-4A3D-4900-93C7-89F267DB8025}" name="Table4" displayName="Table4" ref="A17:B20" totalsRowShown="0">
  <autoFilter ref="A17:B20" xr:uid="{2897FD01-4A3D-4900-93C7-89F267DB8025}"/>
  <tableColumns count="2">
    <tableColumn id="1" xr3:uid="{F09F81BE-DF10-4D14-9BFA-6BEEF48BAE43}" name="ENTERPRISE VALUE"/>
    <tableColumn id="2" xr3:uid="{2F0D39CD-9111-40E6-B1E3-A7A74F5775F7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thota0000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D3DA6-D10B-477B-B7F8-55A1D0110344}">
  <dimension ref="A1:E53"/>
  <sheetViews>
    <sheetView showGridLines="0" topLeftCell="A4" workbookViewId="0">
      <selection activeCell="B13" sqref="B13"/>
    </sheetView>
  </sheetViews>
  <sheetFormatPr defaultRowHeight="14.25"/>
  <cols>
    <col min="1" max="1" width="22.53125" style="49" bestFit="1" customWidth="1"/>
    <col min="2" max="2" width="33.796875" customWidth="1"/>
    <col min="5" max="5" width="9.1328125" style="3"/>
  </cols>
  <sheetData>
    <row r="1" spans="1:5">
      <c r="A1" s="48" t="s">
        <v>144</v>
      </c>
      <c r="B1" s="29"/>
      <c r="C1" s="1"/>
      <c r="D1" s="1"/>
      <c r="E1" s="4"/>
    </row>
    <row r="2" spans="1:5" ht="28.5">
      <c r="A2" s="48" t="s">
        <v>141</v>
      </c>
      <c r="B2" s="29"/>
    </row>
    <row r="3" spans="1:5">
      <c r="A3" s="48"/>
      <c r="B3" s="29"/>
      <c r="E3" s="2"/>
    </row>
    <row r="4" spans="1:5">
      <c r="A4" s="48" t="s">
        <v>150</v>
      </c>
      <c r="B4" s="29" t="s">
        <v>209</v>
      </c>
      <c r="E4" s="2"/>
    </row>
    <row r="5" spans="1:5">
      <c r="A5" s="48" t="s">
        <v>151</v>
      </c>
      <c r="B5" s="41">
        <v>46296</v>
      </c>
    </row>
    <row r="6" spans="1:5">
      <c r="A6" s="48" t="s">
        <v>152</v>
      </c>
      <c r="B6" s="42" t="s">
        <v>210</v>
      </c>
      <c r="E6" s="5"/>
    </row>
    <row r="7" spans="1:5">
      <c r="A7" s="48" t="s">
        <v>153</v>
      </c>
      <c r="B7" s="29"/>
    </row>
    <row r="8" spans="1:5">
      <c r="A8" s="48"/>
      <c r="B8" s="29"/>
    </row>
    <row r="9" spans="1:5">
      <c r="A9" s="47" t="s">
        <v>142</v>
      </c>
      <c r="B9" s="29"/>
    </row>
    <row r="10" spans="1:5">
      <c r="A10" s="48" t="s">
        <v>154</v>
      </c>
      <c r="B10" s="50" t="s">
        <v>155</v>
      </c>
    </row>
    <row r="11" spans="1:5">
      <c r="A11" s="48" t="s">
        <v>156</v>
      </c>
      <c r="B11" s="32" t="s">
        <v>157</v>
      </c>
      <c r="E11" s="5"/>
    </row>
    <row r="12" spans="1:5">
      <c r="A12" s="48" t="s">
        <v>158</v>
      </c>
      <c r="B12" s="29" t="s">
        <v>159</v>
      </c>
    </row>
    <row r="13" spans="1:5">
      <c r="A13" s="48" t="s">
        <v>160</v>
      </c>
      <c r="B13" s="56">
        <v>4.7E-2</v>
      </c>
    </row>
    <row r="14" spans="1:5">
      <c r="A14" s="48" t="s">
        <v>161</v>
      </c>
      <c r="B14" s="29" t="s">
        <v>162</v>
      </c>
    </row>
    <row r="15" spans="1:5">
      <c r="A15" s="48"/>
      <c r="B15" s="29"/>
    </row>
    <row r="16" spans="1:5">
      <c r="A16" s="47" t="s">
        <v>143</v>
      </c>
      <c r="B16" s="29"/>
    </row>
    <row r="17" spans="1:5">
      <c r="A17" s="48" t="s">
        <v>163</v>
      </c>
      <c r="B17" s="29" t="s">
        <v>164</v>
      </c>
    </row>
    <row r="18" spans="1:5">
      <c r="A18" s="48" t="s">
        <v>165</v>
      </c>
      <c r="B18" s="29" t="s">
        <v>166</v>
      </c>
    </row>
    <row r="19" spans="1:5">
      <c r="A19" s="48" t="s">
        <v>167</v>
      </c>
      <c r="B19" s="29" t="s">
        <v>168</v>
      </c>
    </row>
    <row r="20" spans="1:5">
      <c r="A20" s="48" t="s">
        <v>169</v>
      </c>
      <c r="B20" s="43">
        <v>46203</v>
      </c>
      <c r="E20" s="2"/>
    </row>
    <row r="21" spans="1:5">
      <c r="A21" s="48" t="s">
        <v>170</v>
      </c>
      <c r="B21" s="29" t="s">
        <v>171</v>
      </c>
    </row>
    <row r="22" spans="1:5">
      <c r="A22" s="48" t="s">
        <v>172</v>
      </c>
      <c r="B22" s="29" t="s">
        <v>173</v>
      </c>
    </row>
    <row r="23" spans="1:5">
      <c r="A23" s="48"/>
      <c r="B23" s="29"/>
    </row>
    <row r="24" spans="1:5">
      <c r="A24" s="47" t="s">
        <v>145</v>
      </c>
      <c r="B24" s="29"/>
    </row>
    <row r="25" spans="1:5">
      <c r="A25" s="48" t="s">
        <v>174</v>
      </c>
      <c r="B25" s="29" t="s">
        <v>175</v>
      </c>
    </row>
    <row r="26" spans="1:5">
      <c r="A26" s="48" t="s">
        <v>176</v>
      </c>
      <c r="B26" s="29" t="s">
        <v>177</v>
      </c>
    </row>
    <row r="27" spans="1:5">
      <c r="A27" s="48" t="s">
        <v>178</v>
      </c>
      <c r="B27" s="29" t="s">
        <v>179</v>
      </c>
    </row>
    <row r="28" spans="1:5">
      <c r="A28" s="48" t="s">
        <v>180</v>
      </c>
      <c r="B28" s="29" t="s">
        <v>157</v>
      </c>
    </row>
    <row r="29" spans="1:5">
      <c r="A29" s="48"/>
      <c r="B29" s="29"/>
    </row>
    <row r="30" spans="1:5">
      <c r="A30" s="47" t="s">
        <v>146</v>
      </c>
      <c r="B30" s="29"/>
    </row>
    <row r="31" spans="1:5">
      <c r="A31" s="48" t="s">
        <v>40</v>
      </c>
      <c r="B31" s="44">
        <v>7.2599999999999998E-2</v>
      </c>
    </row>
    <row r="32" spans="1:5">
      <c r="A32" s="48" t="s">
        <v>181</v>
      </c>
      <c r="B32" s="44">
        <v>2.2499999999999999E-2</v>
      </c>
    </row>
    <row r="33" spans="1:2">
      <c r="A33" s="48" t="s">
        <v>182</v>
      </c>
      <c r="B33" s="45" t="s">
        <v>53</v>
      </c>
    </row>
    <row r="34" spans="1:2">
      <c r="A34" s="48" t="s">
        <v>183</v>
      </c>
      <c r="B34" s="45" t="s">
        <v>184</v>
      </c>
    </row>
    <row r="35" spans="1:2">
      <c r="A35" s="48" t="s">
        <v>185</v>
      </c>
      <c r="B35" s="46">
        <v>0.3</v>
      </c>
    </row>
    <row r="36" spans="1:2">
      <c r="A36" s="48"/>
      <c r="B36" s="29"/>
    </row>
    <row r="37" spans="1:2">
      <c r="A37" s="47" t="s">
        <v>147</v>
      </c>
      <c r="B37" s="29"/>
    </row>
    <row r="38" spans="1:2">
      <c r="A38" s="48" t="s">
        <v>186</v>
      </c>
      <c r="B38" s="29" t="s">
        <v>187</v>
      </c>
    </row>
    <row r="39" spans="1:2">
      <c r="A39" s="48" t="s">
        <v>188</v>
      </c>
      <c r="B39" s="29" t="s">
        <v>189</v>
      </c>
    </row>
    <row r="40" spans="1:2">
      <c r="A40" s="48" t="s">
        <v>190</v>
      </c>
      <c r="B40" s="29" t="s">
        <v>191</v>
      </c>
    </row>
    <row r="41" spans="1:2">
      <c r="A41" s="48" t="s">
        <v>192</v>
      </c>
      <c r="B41" s="29" t="s">
        <v>193</v>
      </c>
    </row>
    <row r="42" spans="1:2">
      <c r="A42" s="48" t="s">
        <v>194</v>
      </c>
      <c r="B42" s="29" t="s">
        <v>195</v>
      </c>
    </row>
    <row r="43" spans="1:2">
      <c r="A43" s="48" t="s">
        <v>196</v>
      </c>
      <c r="B43" s="29" t="s">
        <v>197</v>
      </c>
    </row>
    <row r="44" spans="1:2">
      <c r="A44" s="48"/>
      <c r="B44" s="29"/>
    </row>
    <row r="45" spans="1:2">
      <c r="A45" s="47" t="s">
        <v>148</v>
      </c>
      <c r="B45" s="29"/>
    </row>
    <row r="46" spans="1:2">
      <c r="A46" s="48" t="s">
        <v>198</v>
      </c>
      <c r="B46" s="29" t="s">
        <v>199</v>
      </c>
    </row>
    <row r="47" spans="1:2">
      <c r="A47" s="48" t="s">
        <v>200</v>
      </c>
      <c r="B47" s="29" t="s">
        <v>201</v>
      </c>
    </row>
    <row r="48" spans="1:2">
      <c r="A48" s="48" t="s">
        <v>202</v>
      </c>
      <c r="B48" s="29" t="s">
        <v>203</v>
      </c>
    </row>
    <row r="49" spans="1:2">
      <c r="A49" s="48" t="s">
        <v>204</v>
      </c>
      <c r="B49" s="29" t="s">
        <v>205</v>
      </c>
    </row>
    <row r="50" spans="1:2">
      <c r="A50" s="48" t="s">
        <v>206</v>
      </c>
      <c r="B50" s="29" t="s">
        <v>207</v>
      </c>
    </row>
    <row r="51" spans="1:2">
      <c r="A51" s="48"/>
      <c r="B51" s="29"/>
    </row>
    <row r="52" spans="1:2">
      <c r="A52" s="47" t="s">
        <v>149</v>
      </c>
      <c r="B52" s="29"/>
    </row>
    <row r="53" spans="1:2" ht="28.5">
      <c r="A53" s="48"/>
      <c r="B53" s="29" t="s">
        <v>208</v>
      </c>
    </row>
  </sheetData>
  <hyperlinks>
    <hyperlink ref="B6" r:id="rId1" xr:uid="{610E32AB-24C9-4857-9746-3C99CEE0945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7BC67-0BBC-475A-BBD2-7BDB64565B5E}">
  <dimension ref="A1:B51"/>
  <sheetViews>
    <sheetView workbookViewId="0">
      <selection activeCell="B42" sqref="B42"/>
    </sheetView>
  </sheetViews>
  <sheetFormatPr defaultRowHeight="14.25"/>
  <cols>
    <col min="1" max="1" width="57.73046875" customWidth="1"/>
    <col min="2" max="2" width="10.73046875" style="23" customWidth="1"/>
  </cols>
  <sheetData>
    <row r="1" spans="1:2">
      <c r="A1" t="s">
        <v>0</v>
      </c>
    </row>
    <row r="3" spans="1:2">
      <c r="A3" t="s">
        <v>1</v>
      </c>
    </row>
    <row r="4" spans="1:2">
      <c r="A4" t="s">
        <v>2</v>
      </c>
      <c r="B4" s="23">
        <v>5</v>
      </c>
    </row>
    <row r="5" spans="1:2">
      <c r="A5" t="s">
        <v>3</v>
      </c>
      <c r="B5" s="23" t="s">
        <v>4</v>
      </c>
    </row>
    <row r="6" spans="1:2">
      <c r="A6" t="s">
        <v>5</v>
      </c>
      <c r="B6" s="23" t="s">
        <v>6</v>
      </c>
    </row>
    <row r="7" spans="1:2">
      <c r="A7" t="s">
        <v>7</v>
      </c>
      <c r="B7" s="23" t="s">
        <v>8</v>
      </c>
    </row>
    <row r="9" spans="1:2">
      <c r="A9" t="s">
        <v>9</v>
      </c>
    </row>
    <row r="10" spans="1:2">
      <c r="A10" t="s">
        <v>10</v>
      </c>
      <c r="B10" s="8">
        <v>-0.01</v>
      </c>
    </row>
    <row r="11" spans="1:2">
      <c r="A11" t="s">
        <v>11</v>
      </c>
      <c r="B11" s="8">
        <v>0.02</v>
      </c>
    </row>
    <row r="12" spans="1:2">
      <c r="A12" t="s">
        <v>12</v>
      </c>
      <c r="B12" s="8">
        <v>0.04</v>
      </c>
    </row>
    <row r="13" spans="1:2">
      <c r="A13" t="s">
        <v>13</v>
      </c>
      <c r="B13" s="8">
        <v>0.04</v>
      </c>
    </row>
    <row r="14" spans="1:2">
      <c r="A14" t="s">
        <v>14</v>
      </c>
      <c r="B14" s="24">
        <v>3.5000000000000003E-2</v>
      </c>
    </row>
    <row r="15" spans="1:2">
      <c r="A15" t="s">
        <v>15</v>
      </c>
      <c r="B15" s="25">
        <v>2.2499999999999999E-2</v>
      </c>
    </row>
    <row r="17" spans="1:2">
      <c r="A17" t="s">
        <v>16</v>
      </c>
    </row>
    <row r="18" spans="1:2">
      <c r="A18" t="s">
        <v>17</v>
      </c>
      <c r="B18" s="8">
        <v>0.22</v>
      </c>
    </row>
    <row r="19" spans="1:2">
      <c r="A19" t="s">
        <v>18</v>
      </c>
      <c r="B19" s="8">
        <v>0.25</v>
      </c>
    </row>
    <row r="20" spans="1:2">
      <c r="A20" t="s">
        <v>19</v>
      </c>
      <c r="B20" s="22">
        <v>0.27500000000000002</v>
      </c>
    </row>
    <row r="21" spans="1:2">
      <c r="A21" t="s">
        <v>20</v>
      </c>
      <c r="B21" s="6">
        <v>0.28999999999999998</v>
      </c>
    </row>
    <row r="22" spans="1:2">
      <c r="A22" t="s">
        <v>21</v>
      </c>
      <c r="B22" s="6">
        <v>0.29499999999999998</v>
      </c>
    </row>
    <row r="24" spans="1:2">
      <c r="A24" t="s">
        <v>22</v>
      </c>
      <c r="B24" s="8"/>
    </row>
    <row r="25" spans="1:2">
      <c r="A25" t="s">
        <v>23</v>
      </c>
      <c r="B25" s="8">
        <v>0.23</v>
      </c>
    </row>
    <row r="26" spans="1:2">
      <c r="A26" t="s">
        <v>24</v>
      </c>
      <c r="B26" s="24">
        <v>4.4999999999999998E-2</v>
      </c>
    </row>
    <row r="27" spans="1:2">
      <c r="A27" t="s">
        <v>25</v>
      </c>
      <c r="B27" s="8">
        <v>7.0000000000000007E-2</v>
      </c>
    </row>
    <row r="28" spans="1:2">
      <c r="A28" t="s">
        <v>26</v>
      </c>
      <c r="B28" s="8">
        <v>0.01</v>
      </c>
    </row>
    <row r="30" spans="1:2">
      <c r="A30" t="s">
        <v>27</v>
      </c>
    </row>
    <row r="31" spans="1:2">
      <c r="A31" t="s">
        <v>28</v>
      </c>
      <c r="B31" s="7">
        <v>4.4999999999999998E-2</v>
      </c>
    </row>
    <row r="32" spans="1:2">
      <c r="A32" t="s">
        <v>29</v>
      </c>
      <c r="B32" s="24">
        <v>5.5E-2</v>
      </c>
    </row>
    <row r="33" spans="1:2">
      <c r="A33" t="s">
        <v>30</v>
      </c>
      <c r="B33" s="26">
        <v>0.8</v>
      </c>
    </row>
    <row r="34" spans="1:2">
      <c r="A34" t="s">
        <v>31</v>
      </c>
      <c r="B34" s="24">
        <f>B31+B32*B33</f>
        <v>8.8999999999999996E-2</v>
      </c>
    </row>
    <row r="35" spans="1:2">
      <c r="A35" t="s">
        <v>32</v>
      </c>
      <c r="B35" s="8">
        <v>0.05</v>
      </c>
    </row>
    <row r="36" spans="1:2">
      <c r="A36" t="s">
        <v>33</v>
      </c>
      <c r="B36" s="8">
        <v>0.23</v>
      </c>
    </row>
    <row r="37" spans="1:2">
      <c r="A37" t="s">
        <v>34</v>
      </c>
      <c r="B37" s="25">
        <f>B35*(1-B36)</f>
        <v>3.8500000000000006E-2</v>
      </c>
    </row>
    <row r="38" spans="1:2">
      <c r="A38" t="s">
        <v>35</v>
      </c>
      <c r="B38" s="27">
        <v>45472.953249999999</v>
      </c>
    </row>
    <row r="39" spans="1:2">
      <c r="A39" t="s">
        <v>36</v>
      </c>
      <c r="B39" s="23">
        <v>21900</v>
      </c>
    </row>
    <row r="40" spans="1:2">
      <c r="A40" t="s">
        <v>37</v>
      </c>
      <c r="B40" s="27">
        <f>B38+B39</f>
        <v>67372.953249999991</v>
      </c>
    </row>
    <row r="41" spans="1:2">
      <c r="A41" t="s">
        <v>38</v>
      </c>
      <c r="B41" s="25">
        <f>B38/B40</f>
        <v>0.67494374309619576</v>
      </c>
    </row>
    <row r="42" spans="1:2">
      <c r="A42" t="s">
        <v>39</v>
      </c>
      <c r="B42" s="25">
        <f>B39/B40</f>
        <v>0.32505625690380441</v>
      </c>
    </row>
    <row r="43" spans="1:2">
      <c r="A43" t="s">
        <v>40</v>
      </c>
      <c r="B43" s="25">
        <f>B41*B34+B42*B37</f>
        <v>7.2584659026357884E-2</v>
      </c>
    </row>
    <row r="45" spans="1:2">
      <c r="A45" t="s">
        <v>41</v>
      </c>
    </row>
    <row r="46" spans="1:2">
      <c r="A46" t="s">
        <v>42</v>
      </c>
      <c r="B46" s="23">
        <v>16.164999999999999</v>
      </c>
    </row>
    <row r="47" spans="1:2">
      <c r="A47" t="s">
        <v>43</v>
      </c>
      <c r="B47" s="23">
        <v>2215</v>
      </c>
    </row>
    <row r="48" spans="1:2">
      <c r="A48" t="s">
        <v>44</v>
      </c>
      <c r="B48" s="27">
        <f>B46*B47</f>
        <v>35805.474999999999</v>
      </c>
    </row>
    <row r="49" spans="1:2">
      <c r="A49" t="s">
        <v>45</v>
      </c>
      <c r="B49" s="23">
        <v>1.27</v>
      </c>
    </row>
    <row r="50" spans="1:2">
      <c r="A50" t="s">
        <v>46</v>
      </c>
      <c r="B50" s="27">
        <f>B48*B49</f>
        <v>45472.953249999999</v>
      </c>
    </row>
    <row r="51" spans="1:2">
      <c r="A51" t="s">
        <v>47</v>
      </c>
      <c r="B51" s="23">
        <v>21900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DAE10-1E44-435A-8914-A418E739CF08}">
  <dimension ref="A1:F22"/>
  <sheetViews>
    <sheetView tabSelected="1" workbookViewId="0">
      <selection activeCell="F18" sqref="F18"/>
    </sheetView>
  </sheetViews>
  <sheetFormatPr defaultRowHeight="14.25"/>
  <cols>
    <col min="1" max="1" width="42.86328125" customWidth="1"/>
  </cols>
  <sheetData>
    <row r="1" spans="1:6">
      <c r="A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4" t="s">
        <v>53</v>
      </c>
    </row>
    <row r="2" spans="1:6">
      <c r="F2" s="3"/>
    </row>
    <row r="3" spans="1:6">
      <c r="A3" t="s">
        <v>54</v>
      </c>
      <c r="B3" s="3">
        <v>12733</v>
      </c>
      <c r="C3" s="3">
        <v>15452</v>
      </c>
      <c r="D3" s="3">
        <v>20555</v>
      </c>
      <c r="E3" s="3">
        <v>20269</v>
      </c>
      <c r="F3" s="2">
        <v>20245</v>
      </c>
    </row>
    <row r="4" spans="1:6">
      <c r="A4" t="s">
        <v>55</v>
      </c>
      <c r="B4" s="3">
        <v>5038</v>
      </c>
      <c r="C4" s="3">
        <v>5973</v>
      </c>
      <c r="D4" s="3">
        <v>8289</v>
      </c>
      <c r="E4" s="3">
        <v>8071</v>
      </c>
      <c r="F4" s="2">
        <v>8072</v>
      </c>
    </row>
    <row r="5" spans="1:6">
      <c r="A5" t="s">
        <v>56</v>
      </c>
      <c r="B5" s="3">
        <v>7695</v>
      </c>
      <c r="C5" s="3">
        <v>9479</v>
      </c>
      <c r="D5" s="3">
        <v>12266</v>
      </c>
      <c r="E5" s="3">
        <v>12198</v>
      </c>
      <c r="F5" s="3">
        <v>12173</v>
      </c>
    </row>
    <row r="6" spans="1:6">
      <c r="A6" t="s">
        <v>57</v>
      </c>
      <c r="B6" s="5">
        <f>B5/B3</f>
        <v>0.60433519202073349</v>
      </c>
      <c r="C6" s="5">
        <f>C5/C3</f>
        <v>0.61344809733367844</v>
      </c>
      <c r="D6" s="5">
        <f>D5/D3</f>
        <v>0.59674045244466067</v>
      </c>
      <c r="E6" s="5">
        <f>E5/E3</f>
        <v>0.60180571315802456</v>
      </c>
      <c r="F6" s="5">
        <f>F5/F3</f>
        <v>0.60128426772042476</v>
      </c>
    </row>
    <row r="7" spans="1:6">
      <c r="B7" s="3"/>
      <c r="C7" s="3"/>
      <c r="D7" s="3"/>
      <c r="E7" s="3"/>
      <c r="F7" s="3"/>
    </row>
    <row r="8" spans="1:6">
      <c r="A8" t="s">
        <v>58</v>
      </c>
      <c r="B8" s="3">
        <v>2163</v>
      </c>
      <c r="C8" s="3">
        <v>2721</v>
      </c>
      <c r="D8" s="3">
        <v>3663</v>
      </c>
      <c r="E8" s="3">
        <v>3691</v>
      </c>
      <c r="F8" s="3">
        <v>3662</v>
      </c>
    </row>
    <row r="9" spans="1:6">
      <c r="A9" t="s">
        <v>59</v>
      </c>
      <c r="B9" s="3">
        <v>1801</v>
      </c>
      <c r="C9" s="3">
        <v>2349</v>
      </c>
      <c r="D9" s="3">
        <v>3056</v>
      </c>
      <c r="E9" s="3">
        <v>2506</v>
      </c>
      <c r="F9" s="3">
        <v>4176</v>
      </c>
    </row>
    <row r="10" spans="1:6">
      <c r="A10" t="s">
        <v>60</v>
      </c>
      <c r="B10" s="3">
        <f>B5-B8-B9</f>
        <v>3731</v>
      </c>
      <c r="C10" s="3">
        <f>C5-C8-C9</f>
        <v>4409</v>
      </c>
      <c r="D10" s="3">
        <f>D5-D8-D9</f>
        <v>5547</v>
      </c>
      <c r="E10" s="3">
        <f>E5-E8-E9</f>
        <v>6001</v>
      </c>
      <c r="F10" s="3">
        <f>F5-F8-F9</f>
        <v>4335</v>
      </c>
    </row>
    <row r="11" spans="1:6">
      <c r="A11" t="s">
        <v>61</v>
      </c>
      <c r="B11" s="5">
        <f>B10/B3</f>
        <v>0.2930181418361737</v>
      </c>
      <c r="C11" s="5">
        <f>C10/C3</f>
        <v>0.28533523168521874</v>
      </c>
      <c r="D11" s="5">
        <f>D10/D3</f>
        <v>0.26986134760398928</v>
      </c>
      <c r="E11" s="5">
        <f>E10/E3</f>
        <v>0.29606788692091374</v>
      </c>
      <c r="F11" s="5">
        <f>F10/F3</f>
        <v>0.21412694492467277</v>
      </c>
    </row>
    <row r="12" spans="1:6">
      <c r="B12" s="3"/>
      <c r="C12" s="3"/>
      <c r="D12" s="3"/>
      <c r="E12" s="3"/>
      <c r="F12" s="3"/>
    </row>
    <row r="13" spans="1:6">
      <c r="A13" t="s">
        <v>62</v>
      </c>
      <c r="B13" s="3">
        <v>14</v>
      </c>
      <c r="C13" s="3">
        <v>-17</v>
      </c>
      <c r="D13" s="3">
        <v>-364</v>
      </c>
      <c r="E13" s="3">
        <v>70</v>
      </c>
      <c r="F13" s="3">
        <v>220</v>
      </c>
    </row>
    <row r="14" spans="1:6">
      <c r="A14" t="s">
        <v>63</v>
      </c>
      <c r="B14" s="3">
        <v>651</v>
      </c>
      <c r="C14" s="3">
        <v>919</v>
      </c>
      <c r="D14" s="3">
        <v>712</v>
      </c>
      <c r="E14" s="3">
        <v>885</v>
      </c>
      <c r="F14" s="3">
        <v>771</v>
      </c>
    </row>
    <row r="15" spans="1:6">
      <c r="A15" t="s">
        <v>64</v>
      </c>
      <c r="B15" s="3">
        <v>334</v>
      </c>
      <c r="C15" s="3">
        <v>417</v>
      </c>
      <c r="D15" s="3">
        <v>443</v>
      </c>
      <c r="E15" s="3">
        <v>414</v>
      </c>
      <c r="F15" s="3">
        <v>193</v>
      </c>
    </row>
    <row r="16" spans="1:6">
      <c r="A16" t="s">
        <v>65</v>
      </c>
      <c r="B16" s="3">
        <f>B10-B13-B14+B15</f>
        <v>3400</v>
      </c>
      <c r="C16" s="3">
        <f>C10-C13-C14+C15</f>
        <v>3924</v>
      </c>
      <c r="D16" s="3">
        <f>D10-D13-D14+D15</f>
        <v>5642</v>
      </c>
      <c r="E16" s="3">
        <f>E10-E13-E14+E15</f>
        <v>5460</v>
      </c>
      <c r="F16" s="3">
        <f>F10-F13-F14+F15</f>
        <v>3537</v>
      </c>
    </row>
    <row r="17" spans="1:6">
      <c r="A17" t="s">
        <v>66</v>
      </c>
      <c r="B17" s="3">
        <v>907</v>
      </c>
      <c r="C17" s="3">
        <v>1049</v>
      </c>
      <c r="D17" s="3">
        <v>1163</v>
      </c>
      <c r="E17" s="3">
        <v>1294</v>
      </c>
      <c r="F17" s="3">
        <v>999</v>
      </c>
    </row>
    <row r="18" spans="1:6">
      <c r="A18" t="s">
        <v>67</v>
      </c>
      <c r="B18" s="3">
        <f>B16-B17</f>
        <v>2493</v>
      </c>
      <c r="C18" s="3">
        <f t="shared" ref="C18:F18" si="0">C16-C17</f>
        <v>2875</v>
      </c>
      <c r="D18" s="3">
        <f t="shared" si="0"/>
        <v>4479</v>
      </c>
      <c r="E18" s="3">
        <f t="shared" si="0"/>
        <v>4166</v>
      </c>
      <c r="F18" s="3">
        <f t="shared" si="0"/>
        <v>2538</v>
      </c>
    </row>
    <row r="19" spans="1:6">
      <c r="B19" s="3"/>
      <c r="C19" s="3"/>
      <c r="D19" s="3"/>
      <c r="E19" s="3"/>
      <c r="F19" s="3"/>
    </row>
    <row r="20" spans="1:6">
      <c r="A20" t="s">
        <v>68</v>
      </c>
      <c r="B20" s="3">
        <v>447</v>
      </c>
      <c r="C20" s="3">
        <v>828</v>
      </c>
      <c r="D20" s="3">
        <v>1297</v>
      </c>
      <c r="E20" s="3">
        <v>493</v>
      </c>
      <c r="F20" s="2">
        <v>1718</v>
      </c>
    </row>
    <row r="21" spans="1:6">
      <c r="A21" t="s">
        <v>69</v>
      </c>
      <c r="B21" s="3">
        <f>626+13</f>
        <v>639</v>
      </c>
      <c r="C21" s="3">
        <f>1097+17</f>
        <v>1114</v>
      </c>
      <c r="D21" s="3">
        <f>1417+16</f>
        <v>1433</v>
      </c>
      <c r="E21" s="3">
        <v>1524</v>
      </c>
      <c r="F21" s="3">
        <f>1612+195</f>
        <v>1807</v>
      </c>
    </row>
    <row r="22" spans="1:6">
      <c r="A22" t="s">
        <v>70</v>
      </c>
      <c r="B22" s="3">
        <v>331</v>
      </c>
      <c r="C22" s="3">
        <v>-179</v>
      </c>
      <c r="D22" s="3">
        <v>-1414</v>
      </c>
      <c r="E22" s="3">
        <v>-768</v>
      </c>
      <c r="F22" s="3">
        <v>-77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0EBCC-CBF0-42FC-9114-A4B184627A39}">
  <dimension ref="A1:H14"/>
  <sheetViews>
    <sheetView zoomScale="79" workbookViewId="0">
      <selection activeCell="G5" sqref="G5"/>
    </sheetView>
  </sheetViews>
  <sheetFormatPr defaultRowHeight="14.25"/>
  <cols>
    <col min="1" max="1" width="40.73046875" customWidth="1"/>
    <col min="3" max="3" width="17.1328125" customWidth="1"/>
    <col min="4" max="4" width="9.265625" bestFit="1" customWidth="1"/>
    <col min="5" max="5" width="9.73046875" customWidth="1"/>
  </cols>
  <sheetData>
    <row r="1" spans="1:8">
      <c r="A1" t="s">
        <v>71</v>
      </c>
      <c r="B1" t="s">
        <v>53</v>
      </c>
      <c r="C1" t="s">
        <v>6</v>
      </c>
      <c r="D1" t="s">
        <v>72</v>
      </c>
      <c r="E1" t="s">
        <v>73</v>
      </c>
      <c r="F1" t="s">
        <v>74</v>
      </c>
      <c r="G1" t="s">
        <v>8</v>
      </c>
    </row>
    <row r="3" spans="1:8">
      <c r="A3" t="s">
        <v>75</v>
      </c>
      <c r="B3" s="2">
        <f>Historical!F3</f>
        <v>20245</v>
      </c>
      <c r="C3" s="12">
        <f>B3*(1+C4)</f>
        <v>20042.55</v>
      </c>
      <c r="D3" s="12">
        <f>C3*(1+D4)</f>
        <v>20443.400999999998</v>
      </c>
      <c r="E3" s="12">
        <f>D3*(1+E4)</f>
        <v>21261.137039999998</v>
      </c>
      <c r="F3" s="12">
        <f>E3*(1+F4)</f>
        <v>22111.582521599998</v>
      </c>
      <c r="G3" s="12">
        <f>F3*(1+G4)</f>
        <v>22885.487909855994</v>
      </c>
      <c r="H3" s="11"/>
    </row>
    <row r="4" spans="1:8">
      <c r="A4" t="s">
        <v>76</v>
      </c>
      <c r="B4" s="6"/>
      <c r="C4" s="5">
        <f>Assumptions!B10</f>
        <v>-0.01</v>
      </c>
      <c r="D4" s="5">
        <f>Assumptions!B11</f>
        <v>0.02</v>
      </c>
      <c r="E4" s="5">
        <f>Assumptions!B12</f>
        <v>0.04</v>
      </c>
      <c r="F4" s="5">
        <f>Assumptions!B13</f>
        <v>0.04</v>
      </c>
      <c r="G4" s="9">
        <f>Assumptions!B14</f>
        <v>3.5000000000000003E-2</v>
      </c>
    </row>
    <row r="5" spans="1:8">
      <c r="B5" s="6"/>
      <c r="C5" s="3"/>
      <c r="D5" s="3"/>
      <c r="E5" s="3"/>
      <c r="F5" s="3"/>
      <c r="G5" s="3"/>
    </row>
    <row r="6" spans="1:8">
      <c r="A6" t="s">
        <v>77</v>
      </c>
      <c r="B6" s="6"/>
      <c r="C6" s="3">
        <f>C3*C7</f>
        <v>4409.3609999999999</v>
      </c>
      <c r="D6" s="3">
        <f>D3*D7</f>
        <v>5110.8502499999995</v>
      </c>
      <c r="E6" s="3">
        <f>E3*E7</f>
        <v>5846.8126860000002</v>
      </c>
      <c r="F6" s="3">
        <f>F3*F7</f>
        <v>6412.3589312639988</v>
      </c>
      <c r="G6" s="3">
        <f>G3*G7</f>
        <v>6751.2189334075183</v>
      </c>
    </row>
    <row r="7" spans="1:8">
      <c r="A7" t="s">
        <v>61</v>
      </c>
      <c r="B7" s="6"/>
      <c r="C7" s="28">
        <f>Assumptions!B18</f>
        <v>0.22</v>
      </c>
      <c r="D7" s="28">
        <f>Assumptions!B19</f>
        <v>0.25</v>
      </c>
      <c r="E7" s="5">
        <f>Assumptions!B20</f>
        <v>0.27500000000000002</v>
      </c>
      <c r="F7" s="28">
        <f>Assumptions!B21</f>
        <v>0.28999999999999998</v>
      </c>
      <c r="G7" s="28">
        <f>Assumptions!B22</f>
        <v>0.29499999999999998</v>
      </c>
    </row>
    <row r="8" spans="1:8">
      <c r="A8" t="s">
        <v>78</v>
      </c>
      <c r="B8" s="7"/>
      <c r="C8" s="16">
        <f>C6*(Assumptions!$B$25)</f>
        <v>1014.1530300000001</v>
      </c>
      <c r="D8" s="16">
        <f>D6*(Assumptions!$B$25)</f>
        <v>1175.4955574999999</v>
      </c>
      <c r="E8" s="16">
        <f>E6*(Assumptions!$B$25)</f>
        <v>1344.7669177800001</v>
      </c>
      <c r="F8" s="16">
        <f>F6*(Assumptions!$B$25)</f>
        <v>1474.8425541907197</v>
      </c>
      <c r="G8" s="16">
        <f>G6*(Assumptions!$B$25)</f>
        <v>1552.7803546837292</v>
      </c>
    </row>
    <row r="9" spans="1:8">
      <c r="A9" t="s">
        <v>79</v>
      </c>
      <c r="B9" s="3"/>
      <c r="C9" s="12">
        <f>C6*(1-Assumptions!$B$25)</f>
        <v>3395.2079699999999</v>
      </c>
      <c r="D9" s="12">
        <f>D6*(1-Assumptions!$B$25)</f>
        <v>3935.3546924999996</v>
      </c>
      <c r="E9" s="12">
        <f>E6*(1-Assumptions!$B$25)</f>
        <v>4502.0457682200004</v>
      </c>
      <c r="F9" s="12">
        <f>F6*(1-Assumptions!$B$25)</f>
        <v>4937.5163770732788</v>
      </c>
      <c r="G9" s="12">
        <f>G6*(1-Assumptions!$B$25)</f>
        <v>5198.4385787237889</v>
      </c>
    </row>
    <row r="10" spans="1:8">
      <c r="B10" s="3"/>
      <c r="C10" s="3"/>
      <c r="D10" s="3"/>
      <c r="E10" s="3"/>
      <c r="F10" s="3"/>
      <c r="G10" s="3"/>
    </row>
    <row r="11" spans="1:8">
      <c r="A11" t="s">
        <v>80</v>
      </c>
      <c r="B11" s="3"/>
      <c r="C11" s="12">
        <f>C3*(Assumptions!$B$26)</f>
        <v>901.91474999999991</v>
      </c>
      <c r="D11" s="12">
        <f>D3*(Assumptions!$B$26)</f>
        <v>919.95304499999986</v>
      </c>
      <c r="E11" s="12">
        <f>E3*(Assumptions!$B$26)</f>
        <v>956.75116679999985</v>
      </c>
      <c r="F11" s="12">
        <f>F3*(Assumptions!$B$26)</f>
        <v>995.02121347199989</v>
      </c>
      <c r="G11" s="12">
        <f>G3*(Assumptions!$B$26)</f>
        <v>1029.8469559435198</v>
      </c>
    </row>
    <row r="12" spans="1:8">
      <c r="A12" t="s">
        <v>69</v>
      </c>
      <c r="B12" s="3"/>
      <c r="C12" s="12">
        <f>C3*(Assumptions!$B$27)</f>
        <v>1402.9785000000002</v>
      </c>
      <c r="D12" s="12">
        <f>D3*(Assumptions!$B$27)</f>
        <v>1431.0380700000001</v>
      </c>
      <c r="E12" s="12">
        <f>E3*(Assumptions!$B$27)</f>
        <v>1488.2795928</v>
      </c>
      <c r="F12" s="12">
        <f>F3*(Assumptions!$B$27)</f>
        <v>1547.8107765120001</v>
      </c>
      <c r="G12" s="12">
        <f>G3*(Assumptions!$B$27)</f>
        <v>1601.9841536899198</v>
      </c>
    </row>
    <row r="13" spans="1:8">
      <c r="A13" t="s">
        <v>70</v>
      </c>
      <c r="B13" s="3"/>
      <c r="C13" s="12">
        <f>C3*(Assumptions!$B$28)</f>
        <v>200.4255</v>
      </c>
      <c r="D13" s="12">
        <f>D3*(Assumptions!$B$28)</f>
        <v>204.43400999999997</v>
      </c>
      <c r="E13" s="12">
        <f>E3*(Assumptions!$B$28)</f>
        <v>212.61137039999997</v>
      </c>
      <c r="F13" s="12">
        <f>F3*(Assumptions!$B$28)</f>
        <v>221.11582521599999</v>
      </c>
      <c r="G13" s="12">
        <f>G3*(Assumptions!$B$28)</f>
        <v>228.85487909855993</v>
      </c>
    </row>
    <row r="14" spans="1:8">
      <c r="A14" t="s">
        <v>81</v>
      </c>
      <c r="B14" s="3"/>
      <c r="C14" s="12">
        <f>C9+C11-C12-C13</f>
        <v>2693.7187199999994</v>
      </c>
      <c r="D14" s="12">
        <f>D9+D11-D12-D13</f>
        <v>3219.8356574999993</v>
      </c>
      <c r="E14" s="12">
        <f>E9+E11-E12-E13</f>
        <v>3757.9059718200001</v>
      </c>
      <c r="F14" s="12">
        <f>F9+F11-F12-F13</f>
        <v>4163.6109888172778</v>
      </c>
      <c r="G14" s="12">
        <f>G9+G11-G12-G13</f>
        <v>4397.4465018788296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zoomScale="96" workbookViewId="0">
      <selection activeCell="A20" sqref="A20"/>
    </sheetView>
  </sheetViews>
  <sheetFormatPr defaultRowHeight="14.25"/>
  <cols>
    <col min="1" max="1" width="68.53125" customWidth="1"/>
    <col min="2" max="2" width="14" customWidth="1"/>
    <col min="3" max="3" width="17.1328125" customWidth="1"/>
    <col min="4" max="4" width="12.1328125" customWidth="1"/>
    <col min="5" max="5" width="13.73046875" customWidth="1"/>
    <col min="6" max="6" width="13.59765625" customWidth="1"/>
  </cols>
  <sheetData>
    <row r="1" spans="1:6">
      <c r="A1" s="19" t="s">
        <v>82</v>
      </c>
    </row>
    <row r="3" spans="1:6">
      <c r="A3" t="s">
        <v>83</v>
      </c>
    </row>
    <row r="5" spans="1:6">
      <c r="A5" s="30">
        <f>DCF!B26</f>
        <v>19.886120199447394</v>
      </c>
      <c r="B5" s="10">
        <v>6.25E-2</v>
      </c>
      <c r="C5" s="10">
        <v>6.7500000000000004E-2</v>
      </c>
      <c r="D5" s="10">
        <v>7.2599999999999998E-2</v>
      </c>
      <c r="E5" s="10">
        <v>7.7499999999999999E-2</v>
      </c>
      <c r="F5" s="31">
        <v>8.2500000000000004E-2</v>
      </c>
    </row>
    <row r="6" spans="1:6">
      <c r="A6" s="33">
        <v>1.7500000000000002E-2</v>
      </c>
      <c r="B6" s="34">
        <v>22.8</v>
      </c>
      <c r="C6" s="34">
        <v>20</v>
      </c>
      <c r="D6" s="34">
        <v>17.600000000000001</v>
      </c>
      <c r="E6" s="34">
        <v>15.7</v>
      </c>
      <c r="F6" s="34">
        <v>14</v>
      </c>
    </row>
    <row r="7" spans="1:6">
      <c r="A7" s="33">
        <v>0.02</v>
      </c>
      <c r="B7" s="34">
        <v>24.2</v>
      </c>
      <c r="C7" s="34">
        <v>21.1</v>
      </c>
      <c r="D7" s="34">
        <v>18.5</v>
      </c>
      <c r="E7" s="34">
        <v>16.399999999999999</v>
      </c>
      <c r="F7" s="34">
        <v>14.6</v>
      </c>
    </row>
    <row r="8" spans="1:6">
      <c r="A8" s="33">
        <v>2.2499999999999999E-2</v>
      </c>
      <c r="B8" s="34">
        <v>25.8</v>
      </c>
      <c r="C8" s="34">
        <v>22.3</v>
      </c>
      <c r="D8" s="35">
        <v>19.89</v>
      </c>
      <c r="E8" s="34">
        <v>17.2</v>
      </c>
      <c r="F8" s="34">
        <v>15.3</v>
      </c>
    </row>
    <row r="9" spans="1:6">
      <c r="A9" s="33">
        <v>2.5000000000000001E-2</v>
      </c>
      <c r="B9" s="34">
        <v>27.6</v>
      </c>
      <c r="C9" s="34">
        <v>23.7</v>
      </c>
      <c r="D9" s="34">
        <v>20.9</v>
      </c>
      <c r="E9" s="34">
        <v>18.100000000000001</v>
      </c>
      <c r="F9" s="34">
        <v>16</v>
      </c>
    </row>
    <row r="10" spans="1:6">
      <c r="A10" s="33">
        <v>2.75E-2</v>
      </c>
      <c r="B10" s="34">
        <v>29.7</v>
      </c>
      <c r="C10" s="34">
        <v>25.3</v>
      </c>
      <c r="D10" s="34">
        <v>22</v>
      </c>
      <c r="E10" s="34">
        <v>19</v>
      </c>
      <c r="F10" s="34">
        <v>16.8</v>
      </c>
    </row>
    <row r="12" spans="1:6">
      <c r="A12" t="s">
        <v>212</v>
      </c>
    </row>
    <row r="13" spans="1:6">
      <c r="A13" t="s">
        <v>213</v>
      </c>
    </row>
    <row r="14" spans="1:6">
      <c r="A14" t="s">
        <v>211</v>
      </c>
    </row>
    <row r="19" spans="1:1">
      <c r="A19" s="10"/>
    </row>
    <row r="20" spans="1:1">
      <c r="A20" s="10"/>
    </row>
    <row r="21" spans="1:1">
      <c r="A21" s="21"/>
    </row>
    <row r="22" spans="1:1">
      <c r="A22" s="10"/>
    </row>
    <row r="23" spans="1:1">
      <c r="A23" s="10"/>
    </row>
  </sheetData>
  <conditionalFormatting sqref="B6:F10">
    <cfRule type="colorScale" priority="1">
      <colorScale>
        <cfvo type="min"/>
        <cfvo type="max"/>
        <color rgb="FFFF0000"/>
        <color rgb="FF92D05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10191-A0E1-4108-BC0C-71B8CC744241}">
  <dimension ref="A1:F29"/>
  <sheetViews>
    <sheetView zoomScale="68" workbookViewId="0">
      <selection activeCell="F5" sqref="F5"/>
    </sheetView>
  </sheetViews>
  <sheetFormatPr defaultRowHeight="14.25"/>
  <cols>
    <col min="1" max="1" width="33.1328125" customWidth="1"/>
    <col min="2" max="2" width="16.86328125" customWidth="1"/>
    <col min="3" max="3" width="12.1328125" customWidth="1"/>
    <col min="4" max="6" width="11.3984375" bestFit="1" customWidth="1"/>
  </cols>
  <sheetData>
    <row r="1" spans="1:6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</row>
    <row r="2" spans="1:6">
      <c r="B2" t="s">
        <v>6</v>
      </c>
      <c r="C2" t="s">
        <v>72</v>
      </c>
      <c r="D2" t="s">
        <v>73</v>
      </c>
      <c r="E2" t="s">
        <v>74</v>
      </c>
      <c r="F2" t="s">
        <v>8</v>
      </c>
    </row>
    <row r="3" spans="1:6">
      <c r="A3" t="s">
        <v>90</v>
      </c>
      <c r="B3" s="12">
        <f>Projections!C14</f>
        <v>2693.7187199999994</v>
      </c>
      <c r="C3" s="12">
        <f>Projections!D14</f>
        <v>3219.8356574999993</v>
      </c>
      <c r="D3" s="12">
        <f>Projections!E14</f>
        <v>3757.9059718200001</v>
      </c>
      <c r="E3" s="12">
        <f>Projections!F14</f>
        <v>4163.6109888172778</v>
      </c>
      <c r="F3" s="12">
        <f>Projections!G14</f>
        <v>4397.4465018788296</v>
      </c>
    </row>
    <row r="4" spans="1:6">
      <c r="A4" t="s">
        <v>91</v>
      </c>
      <c r="B4" s="3">
        <v>1</v>
      </c>
      <c r="C4" s="3">
        <v>2</v>
      </c>
      <c r="D4" s="3">
        <v>3</v>
      </c>
      <c r="E4" s="3">
        <v>4</v>
      </c>
      <c r="F4" s="3">
        <v>5</v>
      </c>
    </row>
    <row r="5" spans="1:6">
      <c r="A5" t="s">
        <v>92</v>
      </c>
      <c r="B5" s="13">
        <f>1/(1+Assumptions!$B$43)^B4</f>
        <v>0.93232733806555945</v>
      </c>
      <c r="C5" s="13">
        <f>1/(1+Assumptions!$B$43)^C4</f>
        <v>0.86923426530441195</v>
      </c>
      <c r="D5" s="13">
        <f>1/(1+Assumptions!$B$43)^D4</f>
        <v>0.8104108687266347</v>
      </c>
      <c r="E5" s="13">
        <f>1/(1+Assumptions!$B$43)^E4</f>
        <v>0.7555682079793008</v>
      </c>
      <c r="F5" s="13">
        <f>1/(1+Assumptions!$B$43)^F4</f>
        <v>0.70443689607230642</v>
      </c>
    </row>
    <row r="6" spans="1:6">
      <c r="A6" t="s">
        <v>93</v>
      </c>
      <c r="B6" s="12">
        <f>B3*B5</f>
        <v>2511.4276037149657</v>
      </c>
      <c r="C6" s="12">
        <f>C3*C5</f>
        <v>2798.7914821479603</v>
      </c>
      <c r="D6" s="12">
        <f>D3*D5</f>
        <v>3045.4478432156548</v>
      </c>
      <c r="E6" s="12">
        <f>E3*E5</f>
        <v>3145.8920935435954</v>
      </c>
      <c r="F6" s="12">
        <f>F3*F5</f>
        <v>3097.7235644275447</v>
      </c>
    </row>
    <row r="7" spans="1:6">
      <c r="B7" s="3"/>
      <c r="C7" s="3"/>
      <c r="D7" s="3"/>
      <c r="E7" s="3"/>
      <c r="F7" s="3"/>
    </row>
    <row r="8" spans="1:6">
      <c r="A8" t="s">
        <v>94</v>
      </c>
      <c r="B8" s="14">
        <f>SUM(B6:F6)</f>
        <v>14599.28258704972</v>
      </c>
      <c r="C8" s="3"/>
      <c r="D8" s="3"/>
      <c r="E8" s="3"/>
      <c r="F8" s="3"/>
    </row>
    <row r="9" spans="1:6">
      <c r="B9" s="3"/>
      <c r="C9" s="3"/>
      <c r="D9" s="3"/>
      <c r="E9" s="3"/>
      <c r="F9" s="3"/>
    </row>
    <row r="10" spans="1:6">
      <c r="A10" t="s">
        <v>95</v>
      </c>
      <c r="B10" s="15" t="s">
        <v>85</v>
      </c>
      <c r="C10" s="3"/>
      <c r="D10" s="3"/>
      <c r="E10" s="3"/>
      <c r="F10" s="3"/>
    </row>
    <row r="11" spans="1:6">
      <c r="A11" t="s">
        <v>96</v>
      </c>
      <c r="B11" s="16">
        <f>F3</f>
        <v>4397.4465018788296</v>
      </c>
      <c r="C11" s="3"/>
      <c r="D11" s="3"/>
      <c r="E11" s="3"/>
      <c r="F11" s="3"/>
    </row>
    <row r="12" spans="1:6">
      <c r="A12" t="s">
        <v>15</v>
      </c>
      <c r="B12" s="5">
        <f>Assumptions!B15</f>
        <v>2.2499999999999999E-2</v>
      </c>
      <c r="C12" s="3"/>
      <c r="D12" s="3"/>
      <c r="E12" s="3"/>
      <c r="F12" s="3"/>
    </row>
    <row r="13" spans="1:6">
      <c r="A13" t="s">
        <v>40</v>
      </c>
      <c r="B13" s="5">
        <f>Assumptions!B43</f>
        <v>7.2584659026357884E-2</v>
      </c>
      <c r="C13" s="3"/>
      <c r="D13" s="3"/>
      <c r="E13" s="3"/>
      <c r="F13" s="3"/>
    </row>
    <row r="14" spans="1:6">
      <c r="A14" t="s">
        <v>97</v>
      </c>
      <c r="B14" s="16">
        <f>F3*(1+B12*100%)/(Assumptions!B43-DCF!B12*100%)</f>
        <v>89775.774370447514</v>
      </c>
      <c r="C14" s="3"/>
      <c r="D14" s="3"/>
      <c r="E14" s="3"/>
      <c r="F14" s="3"/>
    </row>
    <row r="15" spans="1:6">
      <c r="A15" t="s">
        <v>98</v>
      </c>
      <c r="B15" s="16">
        <f>B14*F5</f>
        <v>63241.367840005769</v>
      </c>
      <c r="C15" s="3"/>
      <c r="D15" s="3"/>
      <c r="E15" s="3"/>
      <c r="F15" s="3"/>
    </row>
    <row r="16" spans="1:6">
      <c r="B16" s="3"/>
      <c r="C16" s="3"/>
      <c r="D16" s="3"/>
      <c r="E16" s="3"/>
      <c r="F16" s="3"/>
    </row>
    <row r="17" spans="1:6">
      <c r="A17" t="s">
        <v>99</v>
      </c>
      <c r="B17" s="3" t="s">
        <v>85</v>
      </c>
      <c r="C17" s="3"/>
      <c r="D17" s="3"/>
      <c r="E17" s="3"/>
      <c r="F17" s="3"/>
    </row>
    <row r="18" spans="1:6">
      <c r="A18" t="s">
        <v>100</v>
      </c>
      <c r="B18" s="17">
        <f>B8+B15</f>
        <v>77840.650427055487</v>
      </c>
      <c r="C18" s="3"/>
      <c r="D18" s="3"/>
      <c r="E18" s="3"/>
      <c r="F18" s="3"/>
    </row>
    <row r="19" spans="1:6">
      <c r="A19" t="s">
        <v>101</v>
      </c>
      <c r="B19" s="17">
        <f>Assumptions!B39</f>
        <v>21900</v>
      </c>
      <c r="C19" s="3"/>
      <c r="D19" s="3"/>
      <c r="E19" s="3"/>
      <c r="F19" s="3"/>
    </row>
    <row r="20" spans="1:6">
      <c r="A20" t="s">
        <v>102</v>
      </c>
      <c r="B20" s="17">
        <f>B18-B19</f>
        <v>55940.650427055487</v>
      </c>
      <c r="C20" s="18"/>
      <c r="D20" s="3"/>
      <c r="E20" s="3"/>
      <c r="F20" s="3"/>
    </row>
    <row r="21" spans="1:6">
      <c r="B21" s="3"/>
      <c r="C21" s="3"/>
      <c r="D21" s="3"/>
      <c r="E21" s="3"/>
      <c r="F21" s="3"/>
    </row>
    <row r="22" spans="1:6">
      <c r="A22" t="s">
        <v>103</v>
      </c>
      <c r="B22" s="3" t="s">
        <v>85</v>
      </c>
      <c r="C22" s="3"/>
      <c r="D22" s="3"/>
      <c r="E22" s="3"/>
      <c r="F22" s="3"/>
    </row>
    <row r="23" spans="1:6">
      <c r="A23" t="s">
        <v>104</v>
      </c>
      <c r="B23" s="3">
        <f>Assumptions!B47</f>
        <v>2215</v>
      </c>
      <c r="C23" s="3"/>
      <c r="D23" s="3"/>
      <c r="E23" s="3"/>
      <c r="F23" s="3"/>
    </row>
    <row r="24" spans="1:6">
      <c r="A24" t="s">
        <v>105</v>
      </c>
      <c r="B24" s="17">
        <f>B20/B23</f>
        <v>25.255372653298188</v>
      </c>
      <c r="C24" s="3"/>
      <c r="D24" s="3"/>
      <c r="E24" s="3"/>
      <c r="F24" s="3"/>
    </row>
    <row r="25" spans="1:6">
      <c r="A25" t="s">
        <v>106</v>
      </c>
      <c r="B25" s="18">
        <v>1.27</v>
      </c>
      <c r="C25" s="3"/>
      <c r="D25" s="3"/>
      <c r="E25" s="3"/>
      <c r="F25" s="3"/>
    </row>
    <row r="26" spans="1:6">
      <c r="A26" t="s">
        <v>107</v>
      </c>
      <c r="B26" s="18">
        <f>B24/1.27</f>
        <v>19.886120199447394</v>
      </c>
      <c r="C26" s="3"/>
      <c r="D26" s="3"/>
      <c r="E26" s="3"/>
      <c r="F26" s="3"/>
    </row>
    <row r="27" spans="1:6">
      <c r="A27" t="s">
        <v>42</v>
      </c>
      <c r="B27" s="18">
        <v>16.649999999999999</v>
      </c>
      <c r="C27" s="3"/>
      <c r="D27" s="3"/>
      <c r="E27" s="3"/>
      <c r="F27" s="3"/>
    </row>
    <row r="28" spans="1:6">
      <c r="A28" t="s">
        <v>108</v>
      </c>
      <c r="B28" s="53">
        <f>(B26-B27)/B27</f>
        <v>0.19436157354038411</v>
      </c>
      <c r="C28" s="3"/>
      <c r="D28" s="3"/>
      <c r="E28" s="3"/>
      <c r="F28" s="3"/>
    </row>
    <row r="29" spans="1:6">
      <c r="A29" t="s">
        <v>109</v>
      </c>
      <c r="B29" s="3" t="s">
        <v>110</v>
      </c>
      <c r="C29" s="3"/>
      <c r="D29" s="3"/>
      <c r="E29" s="3"/>
      <c r="F29" s="3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13622-4314-4866-A84B-6FE4A8B7DE15}">
  <dimension ref="A2:H38"/>
  <sheetViews>
    <sheetView topLeftCell="A11" zoomScale="82" zoomScaleNormal="83" workbookViewId="0">
      <selection activeCell="A18" sqref="A18"/>
    </sheetView>
  </sheetViews>
  <sheetFormatPr defaultRowHeight="14.25"/>
  <cols>
    <col min="1" max="1" width="41" style="20" customWidth="1"/>
    <col min="2" max="2" width="21.19921875" customWidth="1"/>
    <col min="3" max="3" width="12.9296875" customWidth="1"/>
    <col min="4" max="4" width="18.53125" customWidth="1"/>
    <col min="5" max="5" width="18.6640625" customWidth="1"/>
    <col min="6" max="6" width="13.265625" customWidth="1"/>
    <col min="7" max="7" width="12.6640625" customWidth="1"/>
    <col min="8" max="8" width="12.73046875" customWidth="1"/>
  </cols>
  <sheetData>
    <row r="2" spans="1:8">
      <c r="A2" s="20" t="s">
        <v>111</v>
      </c>
    </row>
    <row r="3" spans="1:8">
      <c r="B3" s="51" t="s">
        <v>126</v>
      </c>
      <c r="C3" s="20" t="s">
        <v>127</v>
      </c>
      <c r="D3" s="20" t="s">
        <v>128</v>
      </c>
      <c r="E3" s="20" t="s">
        <v>129</v>
      </c>
      <c r="F3" s="20" t="s">
        <v>130</v>
      </c>
      <c r="G3" s="20" t="s">
        <v>131</v>
      </c>
      <c r="H3" s="20" t="s">
        <v>132</v>
      </c>
    </row>
    <row r="4" spans="1:8">
      <c r="A4" s="20" t="s">
        <v>112</v>
      </c>
    </row>
    <row r="5" spans="1:8">
      <c r="A5" s="20" t="s">
        <v>113</v>
      </c>
      <c r="B5" s="38">
        <v>15.27</v>
      </c>
      <c r="C5" s="36">
        <v>25.94</v>
      </c>
      <c r="D5">
        <v>9.4</v>
      </c>
      <c r="E5">
        <v>2.62</v>
      </c>
      <c r="F5">
        <v>2.76</v>
      </c>
      <c r="G5">
        <v>9.8800000000000008</v>
      </c>
      <c r="H5">
        <v>12.72</v>
      </c>
    </row>
    <row r="6" spans="1:8">
      <c r="A6" s="20" t="s">
        <v>114</v>
      </c>
      <c r="B6">
        <v>12.12</v>
      </c>
      <c r="C6">
        <v>14.26</v>
      </c>
      <c r="D6">
        <v>3.92</v>
      </c>
      <c r="E6" s="39">
        <v>1.19</v>
      </c>
      <c r="F6" s="29">
        <v>3.64</v>
      </c>
      <c r="G6">
        <v>13.08</v>
      </c>
      <c r="H6">
        <v>16.96</v>
      </c>
    </row>
    <row r="7" spans="1:8">
      <c r="A7" s="20" t="s">
        <v>115</v>
      </c>
      <c r="B7" s="29">
        <v>19.91</v>
      </c>
      <c r="C7">
        <v>30.34</v>
      </c>
      <c r="D7">
        <v>9.2100000000000009</v>
      </c>
      <c r="E7" s="39">
        <v>3.43</v>
      </c>
      <c r="F7">
        <v>3.37</v>
      </c>
      <c r="G7">
        <v>9.2899999999999991</v>
      </c>
      <c r="H7">
        <v>11.2</v>
      </c>
    </row>
    <row r="8" spans="1:8">
      <c r="A8" s="20" t="s">
        <v>116</v>
      </c>
      <c r="F8">
        <v>3.37</v>
      </c>
      <c r="G8">
        <v>9.8800000000000008</v>
      </c>
      <c r="H8">
        <v>12.72</v>
      </c>
    </row>
    <row r="10" spans="1:8">
      <c r="A10" s="20" t="s">
        <v>133</v>
      </c>
      <c r="B10">
        <v>45.5</v>
      </c>
      <c r="C10">
        <v>67.400000000000006</v>
      </c>
      <c r="D10">
        <v>20.25</v>
      </c>
      <c r="E10">
        <v>6.05</v>
      </c>
      <c r="F10" s="38">
        <f>C10/D10</f>
        <v>3.3283950617283953</v>
      </c>
      <c r="G10" s="38">
        <f>C10/E10</f>
        <v>11.140495867768596</v>
      </c>
      <c r="H10">
        <v>14.25</v>
      </c>
    </row>
    <row r="12" spans="1:8">
      <c r="A12" s="20" t="s">
        <v>117</v>
      </c>
    </row>
    <row r="13" spans="1:8">
      <c r="A13" s="20" t="s">
        <v>118</v>
      </c>
      <c r="B13">
        <f>E10*G8</f>
        <v>59.774000000000001</v>
      </c>
    </row>
    <row r="14" spans="1:8">
      <c r="A14" s="20" t="s">
        <v>119</v>
      </c>
      <c r="B14" s="38">
        <f>D10*F8</f>
        <v>68.242500000000007</v>
      </c>
    </row>
    <row r="15" spans="1:8">
      <c r="A15" s="20" t="s">
        <v>215</v>
      </c>
      <c r="B15">
        <f>Assumptions!B51/1000</f>
        <v>21.9</v>
      </c>
    </row>
    <row r="16" spans="1:8">
      <c r="A16" s="20" t="s">
        <v>214</v>
      </c>
      <c r="B16">
        <f>B13-B15</f>
        <v>37.874000000000002</v>
      </c>
    </row>
    <row r="17" spans="1:2">
      <c r="A17" s="20" t="s">
        <v>136</v>
      </c>
      <c r="B17" s="40">
        <f>B14-B15</f>
        <v>46.342500000000008</v>
      </c>
    </row>
    <row r="18" spans="1:2">
      <c r="A18" s="20" t="s">
        <v>120</v>
      </c>
      <c r="B18" s="38">
        <f>(Comp!B13-Comp!B15)*1000/Assumptions!B47</f>
        <v>17.098871331828441</v>
      </c>
    </row>
    <row r="19" spans="1:2">
      <c r="A19" s="20" t="s">
        <v>137</v>
      </c>
      <c r="B19" s="38">
        <f>B17*1000/Assumptions!B47</f>
        <v>20.922121896162533</v>
      </c>
    </row>
    <row r="20" spans="1:2">
      <c r="A20" s="20" t="s">
        <v>121</v>
      </c>
      <c r="B20" s="38">
        <f>B18/Assumptions!B49</f>
        <v>13.463678214038142</v>
      </c>
    </row>
    <row r="21" spans="1:2">
      <c r="A21" s="20" t="s">
        <v>134</v>
      </c>
      <c r="B21" s="54">
        <f>B19/Assumptions!B49</f>
        <v>16.474111729261836</v>
      </c>
    </row>
    <row r="22" spans="1:2">
      <c r="A22" s="20" t="s">
        <v>138</v>
      </c>
      <c r="B22" s="38">
        <f>(B20+B21)/2</f>
        <v>14.968894971649988</v>
      </c>
    </row>
    <row r="24" spans="1:2">
      <c r="A24" s="20" t="s">
        <v>122</v>
      </c>
    </row>
    <row r="25" spans="1:2">
      <c r="A25" s="20" t="s">
        <v>123</v>
      </c>
      <c r="B25" s="38">
        <f>DCF!B26</f>
        <v>19.886120199447394</v>
      </c>
    </row>
    <row r="26" spans="1:2">
      <c r="A26" s="20" t="s">
        <v>124</v>
      </c>
      <c r="B26" s="40">
        <f>AVERAGE((B20),(B21))</f>
        <v>14.968894971649988</v>
      </c>
    </row>
    <row r="27" spans="1:2">
      <c r="A27" s="20" t="s">
        <v>125</v>
      </c>
      <c r="B27">
        <v>16.649999999999999</v>
      </c>
    </row>
    <row r="28" spans="1:2">
      <c r="A28" s="20" t="s">
        <v>139</v>
      </c>
      <c r="B28" s="38">
        <f>(Comp!B25+Comp!B26)/2</f>
        <v>17.427507585548689</v>
      </c>
    </row>
    <row r="29" spans="1:2">
      <c r="A29" s="20" t="s">
        <v>140</v>
      </c>
      <c r="B29" s="55">
        <f>(B28-B27)/B27</f>
        <v>4.6697152285206635E-2</v>
      </c>
    </row>
    <row r="30" spans="1:2" ht="13.9" customHeight="1"/>
    <row r="31" spans="1:2">
      <c r="A31" s="20" t="s">
        <v>109</v>
      </c>
      <c r="B31" s="52" t="s">
        <v>135</v>
      </c>
    </row>
    <row r="33" spans="2:3">
      <c r="B33" s="40"/>
    </row>
    <row r="37" spans="2:3">
      <c r="B37" s="37"/>
      <c r="C37" s="29"/>
    </row>
    <row r="38" spans="2:3">
      <c r="B38" s="3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Assumptions</vt:lpstr>
      <vt:lpstr>Historical</vt:lpstr>
      <vt:lpstr>Projections</vt:lpstr>
      <vt:lpstr>Sensitivity</vt:lpstr>
      <vt:lpstr>DCF</vt:lpstr>
      <vt:lpstr>Comp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naveen.thota</cp:lastModifiedBy>
  <cp:revision/>
  <dcterms:created xsi:type="dcterms:W3CDTF">2026-09-09T07:51:58Z</dcterms:created>
  <dcterms:modified xsi:type="dcterms:W3CDTF">2026-10-22T15:05:32Z</dcterms:modified>
  <cp:category/>
  <cp:contentStatus/>
</cp:coreProperties>
</file>